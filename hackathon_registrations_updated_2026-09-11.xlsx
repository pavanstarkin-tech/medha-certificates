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ckathon Evaluation Sheet" state="visible" r:id="rId4"/>
    <sheet sheetId="2" name="Evaluation Instructions" state="visible" r:id="rId5"/>
  </sheets>
  <calcPr calcId="171027"/>
</workbook>
</file>

<file path=xl/sharedStrings.xml><?xml version="1.0" encoding="utf-8"?>
<sst xmlns="http://schemas.openxmlformats.org/spreadsheetml/2006/main" count="361" uniqueCount="272">
  <si>
    <t>TEAM &amp; PRIMARY CONTACT (DEDUPLICATED &amp; SPOT)</t>
  </si>
  <si>
    <t>EVALUATION &amp; SCORING (MAX 100)</t>
  </si>
  <si>
    <t>FEEDBACK</t>
  </si>
  <si>
    <t>TEAM DETAILS</t>
  </si>
  <si>
    <t>S.No</t>
  </si>
  <si>
    <t>Team Name</t>
  </si>
  <si>
    <t>College Name</t>
  </si>
  <si>
    <t>Team Size</t>
  </si>
  <si>
    <t>Primary Member / Lead</t>
  </si>
  <si>
    <t>Email Address</t>
  </si>
  <si>
    <t>Phone Number</t>
  </si>
  <si>
    <t>Implementation (50)</t>
  </si>
  <si>
    <t>Communication (30)</t>
  </si>
  <si>
    <t>UI (20)</t>
  </si>
  <si>
    <t>Total Marks (100)</t>
  </si>
  <si>
    <t>Judge Remarks</t>
  </si>
  <si>
    <t>Team Details</t>
  </si>
  <si>
    <t>Aadhirta</t>
  </si>
  <si>
    <t>Godavari Global University</t>
  </si>
  <si>
    <t>P. Jaya Pavan Kishore</t>
  </si>
  <si>
    <t>penugondakishore2006@gmail.com</t>
  </si>
  <si>
    <t>+91 8074404321</t>
  </si>
  <si>
    <t/>
  </si>
  <si>
    <t>{"teamLead":{"name":"P. Jaya Pavan Kishore","email":"penugondakishore2006@gmail.com","phone":"+91 8074404321"},"members":[{"name":"P Revathi","email":"penugondarevathi2007@gmail.com","phone":"+91 9515529965"},{"name":"Padala Mounika Durga","email":"mounikadurgapadala19@gmail.com","phone":"+91 9347761983"}]}</t>
  </si>
  <si>
    <t>Achievers</t>
  </si>
  <si>
    <t>Jyothi Pravallika Vasamsetti</t>
  </si>
  <si>
    <t>jyothipravallika2813@gmail.com</t>
  </si>
  <si>
    <t>+91 9390663667</t>
  </si>
  <si>
    <t>{"teamLead":{"name":"Jyothi Pravallika Vasamsetti","email":"jyothipravallika2813@gmail.com","phone":"+91 9390663667"},"members":[{"name":"Sahithi Devi Adimulam","email":"deviasahithii@gmail.com","phone":"+91 9704235608"}]}</t>
  </si>
  <si>
    <t>Alpha</t>
  </si>
  <si>
    <t>M.Puneeth</t>
  </si>
  <si>
    <t>manellipuneeth48@gmail.com</t>
  </si>
  <si>
    <t>+91 9398481283</t>
  </si>
  <si>
    <t>{"teamLead":{"name":"M.Puneeth","email":"manellipuneeth48@gmail.com","phone":"+91 9398481283"},"members":[{"name":"D.Sivaram","email":"sivaramd3177@gmail.com","phone":"+91 7569918190"},{"name":"K.Raja","email":"kopparthiraja52@gmail.com","phone":"+91 7671820569"}]}</t>
  </si>
  <si>
    <t>Alt+f4</t>
  </si>
  <si>
    <t>SAI REDDY CHINTA</t>
  </si>
  <si>
    <t>chintasaireddy2007@gmail.com</t>
  </si>
  <si>
    <t>+91 7780306061</t>
  </si>
  <si>
    <t>{"teamLead":{"name":"SAI REDDY CHINTA","email":"chintasaireddy2007@gmail.com","phone":"+91 7780306061"},"members":[{"name":"GEESHMA TEJA KATTA","email":"geeshmateja@gmail.com","phone":"+91 9491162153"},{"name":"SHASHANK RAYUDU","email":"shashankhrayudu@gmail.com","phone":"+91 8125471054"},{"name":"YARRA SRIDEVI","email":"srideviyarra0@gmail.com","phone":"+91 9030970268"},{"name":"JAHNAVI PIDATALA","email":"pidatalajahnavi@gmail.com","phone":"+91 7702270875"}]}</t>
  </si>
  <si>
    <t>Astra</t>
  </si>
  <si>
    <t>GIET Engineering College</t>
  </si>
  <si>
    <t>Janapati UmaMahesh</t>
  </si>
  <si>
    <t>maheshjanapati918@gmail.com</t>
  </si>
  <si>
    <t>+91 9182964244</t>
  </si>
  <si>
    <t>{"teamLead":{"name":"Janapati UmaMahesh","email":"maheshjanapati918@gmail.com","phone":"+91 9182964244"},"members":[{"name":"Bharadwaj Anumula","email":"bharadwajanumula01@gmail.com","phone":"+91 7671956435"},{"name":"Kurru chandana satya sri","email":"kurruchandanasatyasri06@gmail.com","phone":"+91 9701928149"}]}</t>
  </si>
  <si>
    <t>Astrax</t>
  </si>
  <si>
    <t>Sasi Institute of Technology &amp; Engineering</t>
  </si>
  <si>
    <t>Manda Lohith</t>
  </si>
  <si>
    <t>lohith.manda24@sasi.ac.in</t>
  </si>
  <si>
    <t>+91 7993863439</t>
  </si>
  <si>
    <t>{"teamLead":{"name":"Manda Lohith","email":"lohith.manda24@sasi.ac.in","phone":"+91 7993863439"},"members":[{"name":"Manoj","email":"manoj.nujella24@sasi.ac.in","phone":"+91 8179750199"},{"name":"N Jayadeep","email":"jayadeep.nidadavolu24@sasi.ac.in","phone":"+91 9346119445"},{"name":"Manda Lohith","email":"lohith.manda24@sasi.ac.in","phone":"+91 7993863439"},{"name":"P Poojitha","email":"poojithapusula09@gmail.com","phone":"+91 7702246648"}]}</t>
  </si>
  <si>
    <t>Beyond Binary</t>
  </si>
  <si>
    <t>Palika ChandraSekhar</t>
  </si>
  <si>
    <t>chandrasekharpalika23@gmail.com</t>
  </si>
  <si>
    <t>+91 8328192203</t>
  </si>
  <si>
    <t>{"teamLead":{"name":"Palika ChandraSekhar","email":"chandrasekharpalika23@gmail.com","phone":"+91 8328192203"},"members":[{"name":"Vogireddy vinee venkata lakshmi","email":"vineesaivogireddy@gmail.com","phone":"+91 9032550948"},{"name":"Sankisa Jyoshika","email":"jyoshika.sankisa@gmail.com","phone":"+91 8978951633"},{"name":"Vinjamuri Trylokya devi","email":"thrilokyavinjamuri@gmail.com","phone":"+91 6303842561"}]}</t>
  </si>
  <si>
    <t>Bhanu siri teja aswini</t>
  </si>
  <si>
    <t>Bhanu</t>
  </si>
  <si>
    <t>bhanusiritejaaswinik@gmail.com</t>
  </si>
  <si>
    <t>+91 9063015225</t>
  </si>
  <si>
    <t>{"teamLead":{"name":"Bhanu","email":"bhanusiritejaaswinik@gmail.com","phone":"+91 9063015225"},"members":[]}</t>
  </si>
  <si>
    <t>Code  Y</t>
  </si>
  <si>
    <t>RGUKT Srikakulam</t>
  </si>
  <si>
    <t>Tharunya Yaladandi</t>
  </si>
  <si>
    <t>yaladanditharunya@gmail.com</t>
  </si>
  <si>
    <t>+91 6302560879</t>
  </si>
  <si>
    <t>{"teamLead":{"name":"Tharunya Yaladandi","email":"yaladanditharunya@gmail.com","phone":"+91 6302560879"},"members":[{"name":"Renuka  Amalapurapu","email":"renukadeviamalapurapu@gmail.com","phone":"+91 9052940966"},{"name":"Gabu.Maha lakshmi ganga bhavani","email":"gabu.mlgbhavani06@gmail.com","phone":"+91 8688366257"}]}</t>
  </si>
  <si>
    <t>code avenger</t>
  </si>
  <si>
    <t>Pradeep Meesala</t>
  </si>
  <si>
    <t>pradeepmeesala12@gmail.com</t>
  </si>
  <si>
    <t>+91 9182258189</t>
  </si>
  <si>
    <t>{"teamLead":{"name":"Pradeep Meesala","email":"pradeepmeesala12@gmail.com","phone":"+91 9182258189"},"members":[]}</t>
  </si>
  <si>
    <t>Code stomers</t>
  </si>
  <si>
    <t>S.Rishitha</t>
  </si>
  <si>
    <t>srisatyarishitha@gmail.com</t>
  </si>
  <si>
    <t>+91 9493761499</t>
  </si>
  <si>
    <t>{"teamLead":{"name":"S.Rishitha","email":"srisatyarishitha@gmail.com","phone":"+91 9493761499"},"members":[{"name":"P.Hadhasa","email":"hadhasapilli@gmail.com","phone":"+91 6303076960"},{"name":"P.Sridevi","email":"sridevipalla106@gmail.com","phone":"+91 8978507977"}]}</t>
  </si>
  <si>
    <t>Codhex</t>
  </si>
  <si>
    <t>Kavya Sri</t>
  </si>
  <si>
    <t>dharakavya01@gmail.com</t>
  </si>
  <si>
    <t>+91 6304936968</t>
  </si>
  <si>
    <t>{"teamLead":{"name":"Kavya Sri","email":"dharakavya01@gmail.com","phone":"+91 6304936968"},"members":[{"name":"D.Kavya sri","email":"dharakavya01@gmail.com","phone":"+91 6304936968"},{"name":"K.Avinash","email":"avinashkodamanchili54@gmail.com","phone":"+91 8688524528"},{"name":"B.Dhanaraju","email":"dhanarajubokka118@gmail.com","phone":"+91 7989884148"}]}</t>
  </si>
  <si>
    <t>CSE -GIET</t>
  </si>
  <si>
    <t>Maha Lakshmi</t>
  </si>
  <si>
    <t>yallamahalalakshmi2106@gmail.com</t>
  </si>
  <si>
    <t>+91 9177215556</t>
  </si>
  <si>
    <t>{"teamLead":{"name":"Maha Lakshmi","email":"yallamahalalakshmi2106@gmail.com","phone":"+91 9177215556"},"members":[{"name":"Jyothsna Arangi","email":"jyosthnaarangi816@gmail.com","phone":"+91 9959625037"},{"name":"Bonu kishore","email":"bonukishore362@gmail.com","phone":"+91 7995928226"},{"name":"Lanka Vinay vamsi","email":"lankavinayvamsi@gmail.com","phone":"+91 9390378365"}]}</t>
  </si>
  <si>
    <t>Dev-28</t>
  </si>
  <si>
    <t>Gollapalli Krishna Sahith</t>
  </si>
  <si>
    <t>sahithgollapalli@gmail.com</t>
  </si>
  <si>
    <t>+91 7207260327</t>
  </si>
  <si>
    <t>{"teamLead":{"name":"Gollapalli Krishna Sahith","email":"sahithgollapalli@gmail.com","phone":"+91 7207260327"},"members":[{"name":"Geddada Jitendra","email":"jitendra178842005@gmail.com","phone":"+91 9502919217"},{"name":"Narayana gari snehith kumar","email":"snehithkunar14@gmail.com","phone":"+91 8309851311"},{"name":"Mylapalli Bala Raju","email":"mylapalliraju438@gmail.com","phone":"+91 9989631303"}]}</t>
  </si>
  <si>
    <t>DualStack</t>
  </si>
  <si>
    <t>Gowroju SriLakshmi Prasanna</t>
  </si>
  <si>
    <t>sri2006prasanna@gmail.com</t>
  </si>
  <si>
    <t>+91 8639301438</t>
  </si>
  <si>
    <t>{"teamLead":{"name":"Gowroju SriLakshmi Prasanna","email":"sri2006prasanna@gmail.com","phone":"+91 8639301438"},"members":[{"name":"Kantaspurthi Sri Girija Surya Pravalli","email":"pravallikantaspurthi@gmail.com","phone":"+91 9346836153"}]}</t>
  </si>
  <si>
    <t>Elite</t>
  </si>
  <si>
    <t>Challa Kalyan</t>
  </si>
  <si>
    <t>challakalyan1729@gmail.com</t>
  </si>
  <si>
    <t>+91 9030631653</t>
  </si>
  <si>
    <t>{"teamLead":{"name":"Challa Kalyan","email":"challakalyan1729@gmail.com","phone":"+91 9030631653"},"members":[{"name":"Challa Kalyan","email":"challakalyan1729@gmail.com","phone":"+91 9030631653"}]}</t>
  </si>
  <si>
    <t>GenZaura</t>
  </si>
  <si>
    <t>Anukolu Anand Reddy</t>
  </si>
  <si>
    <t>anandreddyanukolu@gmail.com</t>
  </si>
  <si>
    <t>+91 7075735324</t>
  </si>
  <si>
    <t>{"teamLead":{"name":"Anukolu Anand Reddy","email":"anandreddyanukolu@gmail.com","phone":"+91 7075735324"},"members":[{"name":"Praneeth Kumar","email":"praneethkumarsindhe@gmail.com","phone":"+91 9908678503"},{"name":"Aditya venkata sai","email":"adityakandiboina@gmail.com","phone":"+91 9652567753"},{"name":"Jagadeesh Babu","email":"jagadeeshbabuyandra7@gmail.com","phone":"+91 9281446752"}]}</t>
  </si>
  <si>
    <t>Ggu vipers</t>
  </si>
  <si>
    <t>Koppisetty Dhana venkata vishnu vigneswar</t>
  </si>
  <si>
    <t>vara14008@gmail.com</t>
  </si>
  <si>
    <t>+91 9133940189</t>
  </si>
  <si>
    <t>{"teamLead":{"name":"Koppisetty Dhana venkata vishnu vigneswar","email":"vara14008@gmail.com","phone":"+91 9133940189"},"members":[{"name":"Prathviraj singh ranawat","email":"ranawatprithviraj4@gmail.com","phone":"+91 9660624766"},{"name":"Velugubantla Abhiram","email":"abhiramvelugubantla6@gamil.com","phone":"+91 7981539792"}]}</t>
  </si>
  <si>
    <t>GNANEX</t>
  </si>
  <si>
    <t>Bokka Bala Nagendra Ganesh</t>
  </si>
  <si>
    <t>nagendra.07.5486@gmail.com</t>
  </si>
  <si>
    <t>+91 6304502230</t>
  </si>
  <si>
    <t>{"teamLead":{"name":"Bokka Bala Nagendra Ganesh","email":"nagendra.07.5486@gmail.com","phone":"+91 6304502230"},"members":[{"name":"Bokka Bala Nagendra Ganesh","email":"nagendra.07.5486@gmail.com","phone":"+91 6304502230"},{"name":"Gandham Rohith Venkata Kumar","email":"gandhamrohithvenkatakumar@gmail.com","phone":"+91 9666173499"},{"name":"Dudekula Sai Teja","email":"saitejadudekula0@gmail.com","phone":"+91 6302007089"},{"name":"Menavath Venkata Mahesh Naik","email":"maheshnaikn977@gmail.com","phone":"+91 6303006752"}]}</t>
  </si>
  <si>
    <t>Gudala Abhinay</t>
  </si>
  <si>
    <t>abhinaygoud49@gmail.com</t>
  </si>
  <si>
    <t>+91 9390952712</t>
  </si>
  <si>
    <t>{"teamLead":{"name":"Gudala Abhinay","email":"abhinaygoud49@gmail.com","phone":"+91 9390952712"},"members":[{"name":"Gundabathina Anand","email":"anandgundabathina@gmail.com","phone":"+91 8125804266"},{"name":"Nerusu Gnana Deepa","email":"nerusugnanadeepa@gmail.com","phone":"+91 8019784277"},{"name":"Epuri  John Wesley","email":"jw.johnwesly5@gmail.cpm","phone":"+91 9347688424"}]}</t>
  </si>
  <si>
    <t>IIITIANS</t>
  </si>
  <si>
    <t>Mohamed Musraf</t>
  </si>
  <si>
    <t>musrafmohamed75@gmail.com</t>
  </si>
  <si>
    <t>+91 8072301941</t>
  </si>
  <si>
    <t>{"teamLead":{"name":"Mohamed Musraf","email":"musrafmohamed75@gmail.com","phone":"+91 8072301941"},"members":[{"name":"Mohammad Riyaz Baba","email":"rmd63511@gmail.com","phone":"+91 9346044784"},{"name":"Sundarapu Tharun","email":"s220050@rguktsklm.ac.in","phone":"+91 9000950368"},{"name":"Veturi sri ram","email":"veturisriramkumar@gmail.com","phone":"+91 6301050585"}]}</t>
  </si>
  <si>
    <t>InnoGen</t>
  </si>
  <si>
    <t>Kapurapu Yaswanth Reddy</t>
  </si>
  <si>
    <t>kapurapuyaswanthreddy@gmail.com</t>
  </si>
  <si>
    <t>+91 9392722382</t>
  </si>
  <si>
    <t>{"teamLead":{"name":"Kapurapu Yaswanth Reddy","email":"kapurapuyaswanthreddy@gmail.com","phone":"+91 9392722382"},"members":[{"name":"Surya Raja Mandapalli","email":"suryarajamandapalli@gmail.com","phone":"+91 7331102624"},{"name":"Mallikarjun Reddy","email":"mkreddy1117@gmail.com","phone":"+91 7095328480"}]}</t>
  </si>
  <si>
    <t>Innov8 squad</t>
  </si>
  <si>
    <t>P. karthikeya</t>
  </si>
  <si>
    <t>pkarthikeya807@gmail.com</t>
  </si>
  <si>
    <t>+91 8074585055</t>
  </si>
  <si>
    <t>{"teamLead":{"name":"P. karthikeya","email":"pkarthikeya807@gmail.com","phone":"+91 8074585055"},"members":[{"name":"K.Sharath","email":"sharathkodumuru@gmail.com","phone":"+91 9154255420"},{"name":"SK.Ayesha Begum","email":"skayesha0606@gmail.com","phone":"+91 9618441292"},{"name":"M.Thananya","email":"mekalathanaya06@gmail.com","phone":"+91 8143281649"}]}</t>
  </si>
  <si>
    <t>INNOVATION CREW</t>
  </si>
  <si>
    <t>Koppisetty Sathvika Devi</t>
  </si>
  <si>
    <t>koppisettysathvika666@gmail.com</t>
  </si>
  <si>
    <t>+91 7989296386</t>
  </si>
  <si>
    <t>{"teamLead":{"name":"Koppisetty Sathvika Devi","email":"koppisettysathvika666@gmail.com","phone":"+91 7989296386"},"members":[{"name":"Dongara Satya Prasad","email":"dongaraprasad@gmail.com","phone":"+91 7287909451"},{"name":"Bongarala Jyoshna Gowri","email":"jyoshnagowri05@gmail.com","phone":"+91 9182078451"},{"name":"Adapa Karthikeya sai","email":"karthikeyasai61@gmail.com","phone":"+91 9246668777"}]}</t>
  </si>
  <si>
    <t>Innovexa</t>
  </si>
  <si>
    <t>VARIKUTI PUSHPANJALI</t>
  </si>
  <si>
    <t>varikutipushpanjalinaidu@gmail.com</t>
  </si>
  <si>
    <t>+91 9381205770</t>
  </si>
  <si>
    <t>{"teamLead":{"name":"VARIKUTI PUSHPANJALI","email":"varikutipushpanjalinaidu@gmail.com","phone":"+91 9381205770"},"members":[{"name":"Santhanmai jaladi","email":"santhujaladi@gmail.com","phone":"+91 7680855893"},{"name":"Pothuraju tulasi venkata gopi Krishna","email":"pothurajugopi8@gmail.com","phone":"+91 9346486273"},{"name":"KORADA MANIKANTA","email":"manikantakorda939@gmail.com","phone":"+91 9381637430"}]}</t>
  </si>
  <si>
    <t>Pragati Engineering College / University</t>
  </si>
  <si>
    <t>Alisha Shaik</t>
  </si>
  <si>
    <t>alishashiak1606@gmail.com</t>
  </si>
  <si>
    <t>+91 8019711713</t>
  </si>
  <si>
    <t>{"teamLead":{"name":"Alisha Shaik","email":"alishashiak1606@gmail.com","phone":"+91 8019711713"},"members":[{"name":"Alisha Shaik","email":"alishashiak1606@gmail.com","phone":"+91 8019711713"},{"name":"A Rohit vijay","email":"rohitvijayapapa2006@gmail.com","phone":"+91 9133755914"},{"name":"Shauk Rijwana","email":"rijwanashaik1229@gmail.com","phone":"+91 9573743439"},{"name":"Bogireddy Aparna","email":"aparnabogireddy17@gmail.com","phone":"+91 9640620956"}]}</t>
  </si>
  <si>
    <t>Ishu and team</t>
  </si>
  <si>
    <t>Kesavarapu Surya Ishwarya</t>
  </si>
  <si>
    <t>ishukesavarapu29@gmail.com</t>
  </si>
  <si>
    <t>+91 6300824026</t>
  </si>
  <si>
    <t>{"teamLead":{"name":"Kesavarapu Surya Ishwarya","email":"ishukesavarapu29@gmail.com","phone":"+91 6300824026"},"members":[{"name":"Medisetty Tejasri","email":"medisettytejasri@gmail.com","phone":"+91 9848254447"},{"name":"Kommireddy Megha Sanjana","email":"kommireddymegasanjana@gmail.com","phone":"+91 8309034447"},{"name":"Bathula Bala sireesha","email":"bathulasireesha131@gmail.com","phone":"+91 8106110078"}]}</t>
  </si>
  <si>
    <t>LARP</t>
  </si>
  <si>
    <t>Neo Seelam</t>
  </si>
  <si>
    <t>nezareeen@gmail.com</t>
  </si>
  <si>
    <t>+91 9959888429</t>
  </si>
  <si>
    <t>{"teamLead":{"name":"Neo Seelam","email":"nezareeen@gmail.com","phone":"+91 9959888429"},"members":[{"name":"Madhu Kiran Inaparthi","email":"madhukiraninaparthi@gmail.com","phone":"+91 8141416194"}]}</t>
  </si>
  <si>
    <t>Navya</t>
  </si>
  <si>
    <t>R Navya Teja Sri</t>
  </si>
  <si>
    <t>gamyasrirelangi1@gmail.com</t>
  </si>
  <si>
    <t>+91 9490588879</t>
  </si>
  <si>
    <t>{"teamLead":{"name":"R Navya Teja Sri","email":"gamyasrirelangi1@gmail.com","phone":"+91 9490588879"},"members":[]}</t>
  </si>
  <si>
    <t>Nerdy</t>
  </si>
  <si>
    <t>Somanchi Kameswari Sindhuja</t>
  </si>
  <si>
    <t>sindhuja.somanchi2025@gmail.com</t>
  </si>
  <si>
    <t>+91 9391230185</t>
  </si>
  <si>
    <t>{"teamLead":{"name":"Somanchi Kameswari Sindhuja","email":"sindhuja.somanchi2025@gmail.com","phone":"+91 9391230185"},"members":[{"name":"Meher Siva Ram Sorampudi","email":"smsram001@gmail.com","phone":"+91 7995302506"},{"name":"Akhil Tangila","email":"akhiltangila131@gmail.com","phone":"+91 8121763248"},{"name":"Somanchi Kameswari Sindhuja","email":"sindhuja.somanchi2025@gmail.com","phone":"+91 9391230185"}]}</t>
  </si>
  <si>
    <t>Neural nomads</t>
  </si>
  <si>
    <t>Jaswanth Sai</t>
  </si>
  <si>
    <t>jaswanthsai9696@gmail.com</t>
  </si>
  <si>
    <t>+91 9494847250</t>
  </si>
  <si>
    <t>{"teamLead":{"name":"Jaswanth Sai","email":"jaswanthsai9696@gmail.com","phone":"+91 9494847250"},"members":[{"name":"Karri pujitha","email":"pujithakarri16@gmail.com","phone":"+91 6303754170"},{"name":"Illa  Nikitha  harini","email":"hariniila123@gmail.com","phone":"+91 8074058949"},{"name":"Sayyed  Mouzama Amrin","email":"amrinsayyed2007@gmail.com","phone":"+91 9182718104"},{"name":"Undamatla Vijaya durga","email":"undamatlavijayadurga@gmail.com","phone":"+91 7842380903"}]}</t>
  </si>
  <si>
    <t>Potato team</t>
  </si>
  <si>
    <t>Tej Raghuveer</t>
  </si>
  <si>
    <t>tejmotipalli@gmail.com</t>
  </si>
  <si>
    <t>+91 9553322890</t>
  </si>
  <si>
    <t>{"teamLead":{"name":"Tej Raghuveer","email":"tejmotipalli@gmail.com","phone":"+91 9553322890"},"members":[{"name":"Varshith","email":"varshith5006@gmail.com","phone":"+91 6305333182"}]}</t>
  </si>
  <si>
    <t>Raise again</t>
  </si>
  <si>
    <t>Indugu BhanuPrakash</t>
  </si>
  <si>
    <t>indugugopalsai123@gmail.com</t>
  </si>
  <si>
    <t>+91 9963079610</t>
  </si>
  <si>
    <t>{"teamLead":{"name":"Indugu BhanuPrakash","email":"indugugopalsai123@gmail.com","phone":"+91 9963079610"},"members":[{"name":"Jami Dola Suraj Abhishek","email":"surajabhishek82667@gmail.com","phone":"+91 8919982667"},{"name":"Indugu BhanuPrakash","email":"indugugopalsai123@gmail.com","phone":"+91 9963079610"},{"name":"Kosanam Sai charan","email":"kosanamsaicharan29@gmail.com","phone":"+91 8309751500"}]}</t>
  </si>
  <si>
    <t>Rudra</t>
  </si>
  <si>
    <t>V KRISHNA KOUSHIK</t>
  </si>
  <si>
    <t>krishnakoushik297@gmail.com</t>
  </si>
  <si>
    <t>+91 9515578035</t>
  </si>
  <si>
    <t>{"teamLead":{"name":"V KRISHNA KOUSHIK","email":"krishnakoushik297@gmail.com","phone":"+91 9515578035"},"members":[{"name":"V Krishna Koushik","email":"krishnakoushik297@gmail.com","phone":"+91 9515578035"},{"name":"K Chandra Neel Reddy","email":"bannireddy714@gmail.com","phone":"+91 8978385628"},{"name":"K.gireeshroyal","email":"girreeshroyalkunapareddy@gmail.com","phone":"+91 9700551775"}]}</t>
  </si>
  <si>
    <t>Sample</t>
  </si>
  <si>
    <t>SHESHETTI PAVAN KUMAR SWAMY</t>
  </si>
  <si>
    <t>shesettipavankumarswamy@gmail.com</t>
  </si>
  <si>
    <t>+91 8639122823</t>
  </si>
  <si>
    <t>{"teamLead":{"name":"SHESHETTI PAVAN KUMAR SWAMY","email":"shesettipavankumarswamy@gmail.com","phone":"+91 8639122823"},"members":[{"name":"PavankumarSwamy Shesetti","email":"shesettipavankumarswamy@gmail.com","phone":"+91 8639122823"}]}</t>
  </si>
  <si>
    <t>Savini duo</t>
  </si>
  <si>
    <t>GODAVARI  GLOBAL UNIVERSITY</t>
  </si>
  <si>
    <t>POKALA SATYA KARTHIK</t>
  </si>
  <si>
    <t>satyakarthikpokala@gmail.com</t>
  </si>
  <si>
    <t>+91 9490897297</t>
  </si>
  <si>
    <t>{"teamLead":{"name":"POKALA SATYA KARTHIK","email":"satyakarthikpokala@gmail.com","phone":"+91 9490897297"},"members":[{"name":"BEESETTY VENKATA SASIDHAR","email":"sasidhar1078@gmail.com","phone":"+91 7013621750"}]}</t>
  </si>
  <si>
    <t>Solution sprints</t>
  </si>
  <si>
    <t>Eunice Anusha K</t>
  </si>
  <si>
    <t>sweetyeunice27@gmail.com</t>
  </si>
  <si>
    <t>+91 6303720766</t>
  </si>
  <si>
    <t>{"teamLead":{"name":"Eunice Anusha K","email":"sweetyeunice27@gmail.com","phone":"+91 6303720766"},"members":[{"name":"Harshita A","email":"harshitaalamuri@gmail.com","phone":"+91 8522827302"},{"name":"B.S.V.Jaswanth Tej","email":"jaswanathbandaru73@gmail.com","phone":"+91 9951087045"},{"name":"G.Karuna sagar","email":"pavankaruna9@gmail.com","phone":"+91 8247727295"}]}</t>
  </si>
  <si>
    <t>Team Astra</t>
  </si>
  <si>
    <t>Oggu Bhanusasitha</t>
  </si>
  <si>
    <t>bhanusasithaoggu@gmail.com</t>
  </si>
  <si>
    <t>+91 9704585919</t>
  </si>
  <si>
    <t>{"teamLead":{"name":"Oggu Bhanusasitha","email":"bhanusasithaoggu@gmail.com","phone":"+91 9704585919"},"members":[{"name":"Patchava Likhitha","email":"likhithapatchava@gmail.com","phone":"+91 6303054058"}]}</t>
  </si>
  <si>
    <t>Team E</t>
  </si>
  <si>
    <t>P. Venkata Siva Ajay</t>
  </si>
  <si>
    <t>pvenkatasivaajay@gmail.com</t>
  </si>
  <si>
    <t>+91 7013112390</t>
  </si>
  <si>
    <t>{"teamLead":{"name":"P. Venkata Siva Ajay","email":"pvenkatasivaajay@gmail.com","phone":"+91 7013112390"},"members":[{"name":"R. Abhilash","email":"rajapantulaabhilash003@gmail.com","phone":"+91 9390064344"},{"name":"D. Deviprasad","email":"deviprasaddesalla@gmail.com","phone":"+91 8074844136"}]}</t>
  </si>
  <si>
    <t>Tean titans</t>
  </si>
  <si>
    <t>Ramachandra College of Engineering</t>
  </si>
  <si>
    <t>B.Lokesh Manikanta</t>
  </si>
  <si>
    <t>lokesh13805@gmail.com</t>
  </si>
  <si>
    <t>+91 8179585318</t>
  </si>
  <si>
    <t>{"teamLead":{"name":"B.Lokesh Manikanta","email":"lokesh13805@gmail.com","phone":"+91 8179585318"},"members":[{"name":"B.charan teja","email":"charanballemcherry@gmail.com","phone":"+91 9398511033"}]}</t>
  </si>
  <si>
    <t>Tech forge</t>
  </si>
  <si>
    <t>Puja sri navya</t>
  </si>
  <si>
    <t>pujasrinavya.57@gmail.com</t>
  </si>
  <si>
    <t>+91 9701825414</t>
  </si>
  <si>
    <t>{"teamLead":{"name":"Puja sri navya","email":"pujasrinavya.57@gmail.com","phone":"+91 9701825414"},"members":[{"name":"Puja sri navya","email":"pujasrinavya.57@gmail.com","phone":"+91 9701825414"},{"name":"Bhavani","email":"bhavaniambati914@gmail.com","phone":"+91 6309513592"},{"name":"Sasi bhargavi","email":"sasibhargavi16@gmail.com","phone":"+91 9390974464"},{"name":"Sri harsha vardhan","email":"sriharshavardhantirumalarowthu@gmail.com","phone":"+91 9390549017"}]}</t>
  </si>
  <si>
    <t>Tech Titans</t>
  </si>
  <si>
    <t>K.Blessy</t>
  </si>
  <si>
    <t>kovvuriblessy@gmail.com</t>
  </si>
  <si>
    <t>+91 8341381161</t>
  </si>
  <si>
    <t>{"teamLead":{"name":"K.Blessy","email":"kovvuriblessy@gmail.com","phone":"+91 8341381161"},"members":[{"name":"P.Dhanusha","email":"pillilakshmidhanusha@gmail.com","phone":"+91 7989366936"}]}</t>
  </si>
  <si>
    <t>Techsync</t>
  </si>
  <si>
    <t>Devi Sri Lakshmi priya Lolla</t>
  </si>
  <si>
    <t>lolladevisrilakshmipriya@gmail.com</t>
  </si>
  <si>
    <t>+91 8374666997</t>
  </si>
  <si>
    <t>{"teamLead":{"name":"Devi Sri Lakshmi priya Lolla","email":"lolladevisrilakshmipriya@gmail.com","phone":"+91 8374666997"},"members":[{"name":"Lachireddy meghana","email":"meghanalakshmi2007@gmail.com","phone":"+91 9494437368"}]}</t>
  </si>
  <si>
    <t>Terminal stack</t>
  </si>
  <si>
    <t>Koppolu Srinadh</t>
  </si>
  <si>
    <t>koppolusrinadh0@gmail.com</t>
  </si>
  <si>
    <t>+91 7981715399</t>
  </si>
  <si>
    <t>{"teamLead":{"name":"Koppolu Srinadh","email":"koppolusrinadh0@gmail.com","phone":"+91 7981715399"},"members":[{"name":"Mummana Devi Prasad","email":"mummanadeviprasad456@gmail.com","phone":"+91 7842837179"},{"name":"Boddeti Dhana Venkata sai","email":"dvsaiboddeti@gmail.com","phone":"+91 9703719596"},{"name":"Akkkireddy durga Vamsi Krishna","email":"adurgavamsikrishna@gmail.com","phone":"+91 8125178985"}]}</t>
  </si>
  <si>
    <t>Thinktech</t>
  </si>
  <si>
    <t>Uma Maheshwari</t>
  </si>
  <si>
    <t>umamaheswariyadamareddy@gmail.com</t>
  </si>
  <si>
    <t>+91 9603703364</t>
  </si>
  <si>
    <t>{"teamLead":{"name":"Uma Maheshwari","email":"umamaheswariyadamareddy@gmail.com","phone":"+91 9603703364"},"members":[{"name":"Y.Uma Maheshwari","email":"umamaheswariyadamareddy@gmail.com","phone":"+91 9603703364"},{"name":"Renuka Yadamareddy","email":"renukayadamareddy249@gmail.com","phone":"+91 9948779918"}]}</t>
  </si>
  <si>
    <t>VisionX</t>
  </si>
  <si>
    <t>S charan teja</t>
  </si>
  <si>
    <t>charantejasarika32@gmail.com</t>
  </si>
  <si>
    <t>+91 9550977976</t>
  </si>
  <si>
    <t>{"teamLead":{"name":"S charan teja","email":"charantejasarika32@gmail.com","phone":"+91 9550977976"},"members":[{"name":"R Lokesh","email":"rajalokesh120@gmail.com","phone":"+91 8096063819"},{"name":"K Rohith","email":"kattarohith555@gmail.com","phone":"+91 9912503129"},{"name":"N Jaya sai lakshmi","email":"jayasainekkanti@gmail.com","phone":"+91 9676551838"}]}</t>
  </si>
  <si>
    <t>WE CAN</t>
  </si>
  <si>
    <t>SAIKIRAN CHAPA</t>
  </si>
  <si>
    <t>gietsaikiran@gmail.com</t>
  </si>
  <si>
    <t>+91 8106574159</t>
  </si>
  <si>
    <t>{"teamLead":{"name":"SAIKIRAN CHAPA","email":"gietsaikiran@gmail.com","phone":"+91 8106574159"},"members":[{"name":"SAIKIRAN CHAPA","email":"gietsaikiran@gmail.com","phone":"+91 8106574159"}]}</t>
  </si>
  <si>
    <t>AVERAGE MARKS:</t>
  </si>
  <si>
    <t>HACKATHON EVALUATION GUIDE</t>
  </si>
  <si>
    <t>Evaluation Criteria</t>
  </si>
  <si>
    <t>Marks &amp; Description</t>
  </si>
  <si>
    <t>1. Implementation (50)</t>
  </si>
  <si>
    <t>Code quality, functionality, working prototype, architecture, technical complexity.</t>
  </si>
  <si>
    <t>2. Communication (30)</t>
  </si>
  <si>
    <t>Pitch quality, explanation of problem &amp; solution, Q&amp;A defense, team coordination.</t>
  </si>
  <si>
    <t>3. UI / Design (20)</t>
  </si>
  <si>
    <t>Visual aesthetics, user experience, responsiveness, layout clarity, polish.</t>
  </si>
  <si>
    <t>TOTAL (100)</t>
  </si>
  <si>
    <t>Automatically calculated via Excel formula =SUM(Implementation, Communication, UI)</t>
  </si>
  <si>
    <t>Team Details Column (M)</t>
  </si>
  <si>
    <t>Last column. Contains complete JSON for Team Lead and all members. Copying the cell copies the entire 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</si>
</sst>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10"/>
      <name val="Segoe UI"/>
    </font>
    <font>
      <u/>
      <color rgb="FF2563EB"/>
      <sz val="10"/>
      <name val="Segoe UI"/>
    </font>
    <font>
      <b/>
      <sz val="10"/>
      <name val="Segoe UI"/>
    </font>
    <font>
      <b/>
      <color rgb="FF166534"/>
      <sz val="10"/>
      <name val="Segoe UI"/>
    </font>
    <font>
      <color rgb="FF475569"/>
      <sz val="9"/>
      <name val="Consolas"/>
    </font>
    <font>
      <b/>
      <color rgb="FF1E293B"/>
      <sz val="10"/>
      <name val="Segoe UI"/>
    </font>
    <font>
      <b/>
      <color rgb="FF1E293B"/>
      <sz val="14"/>
      <name val="Segoe U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12E81"/>
      </patternFill>
    </fill>
    <fill>
      <patternFill patternType="solid">
        <fgColor rgb="FF0F766E"/>
      </patternFill>
    </fill>
    <fill>
      <patternFill patternType="solid">
        <fgColor rgb="FF334155"/>
      </patternFill>
    </fill>
    <fill>
      <patternFill patternType="solid">
        <fgColor rgb="FF4338CA"/>
      </patternFill>
    </fill>
    <fill>
      <patternFill patternType="solid">
        <fgColor rgb="FF15803D"/>
      </patternFill>
    </fill>
    <fill>
      <patternFill patternType="solid">
        <fgColor rgb="FF115E59"/>
      </patternFill>
    </fill>
    <fill>
      <patternFill patternType="solid">
        <fgColor rgb="FF475569"/>
      </patternFill>
    </fill>
    <fill>
      <patternFill patternType="solid">
        <fgColor rgb="FFFEFCE8"/>
      </patternFill>
    </fill>
    <fill>
      <patternFill patternType="solid">
        <fgColor rgb="FFF0FDF4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double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164" fontId="7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nugondakishore2006@gmail.com" TargetMode="External"/><Relationship Id="rId2" Type="http://schemas.openxmlformats.org/officeDocument/2006/relationships/hyperlink" Target="mailto:jyothipravallika2813@gmail.com" TargetMode="External"/><Relationship Id="rId3" Type="http://schemas.openxmlformats.org/officeDocument/2006/relationships/hyperlink" Target="mailto:manellipuneeth48@gmail.com" TargetMode="External"/><Relationship Id="rId4" Type="http://schemas.openxmlformats.org/officeDocument/2006/relationships/hyperlink" Target="mailto:chintasaireddy2007@gmail.com" TargetMode="External"/><Relationship Id="rId5" Type="http://schemas.openxmlformats.org/officeDocument/2006/relationships/hyperlink" Target="mailto:maheshjanapati918@gmail.com" TargetMode="External"/><Relationship Id="rId6" Type="http://schemas.openxmlformats.org/officeDocument/2006/relationships/hyperlink" Target="mailto:lohith.manda24@sasi.ac.in" TargetMode="External"/><Relationship Id="rId7" Type="http://schemas.openxmlformats.org/officeDocument/2006/relationships/hyperlink" Target="mailto:chandrasekharpalika23@gmail.com" TargetMode="External"/><Relationship Id="rId8" Type="http://schemas.openxmlformats.org/officeDocument/2006/relationships/hyperlink" Target="mailto:bhanusiritejaaswinik@gmail.com" TargetMode="External"/><Relationship Id="rId9" Type="http://schemas.openxmlformats.org/officeDocument/2006/relationships/hyperlink" Target="mailto:yaladanditharunya@gmail.com" TargetMode="External"/><Relationship Id="rId10" Type="http://schemas.openxmlformats.org/officeDocument/2006/relationships/hyperlink" Target="mailto:pradeepmeesala12@gmail.com" TargetMode="External"/><Relationship Id="rId11" Type="http://schemas.openxmlformats.org/officeDocument/2006/relationships/hyperlink" Target="mailto:srisatyarishitha@gmail.com" TargetMode="External"/><Relationship Id="rId12" Type="http://schemas.openxmlformats.org/officeDocument/2006/relationships/hyperlink" Target="mailto:dharakavya01@gmail.com" TargetMode="External"/><Relationship Id="rId13" Type="http://schemas.openxmlformats.org/officeDocument/2006/relationships/hyperlink" Target="mailto:yallamahalalakshmi2106@gmail.com" TargetMode="External"/><Relationship Id="rId14" Type="http://schemas.openxmlformats.org/officeDocument/2006/relationships/hyperlink" Target="mailto:sahithgollapalli@gmail.com" TargetMode="External"/><Relationship Id="rId15" Type="http://schemas.openxmlformats.org/officeDocument/2006/relationships/hyperlink" Target="mailto:sri2006prasanna@gmail.com" TargetMode="External"/><Relationship Id="rId16" Type="http://schemas.openxmlformats.org/officeDocument/2006/relationships/hyperlink" Target="mailto:challakalyan1729@gmail.com" TargetMode="External"/><Relationship Id="rId17" Type="http://schemas.openxmlformats.org/officeDocument/2006/relationships/hyperlink" Target="mailto:anandreddyanukolu@gmail.com" TargetMode="External"/><Relationship Id="rId18" Type="http://schemas.openxmlformats.org/officeDocument/2006/relationships/hyperlink" Target="mailto:vara14008@gmail.com" TargetMode="External"/><Relationship Id="rId19" Type="http://schemas.openxmlformats.org/officeDocument/2006/relationships/hyperlink" Target="mailto:nagendra.07.5486@gmail.com" TargetMode="External"/><Relationship Id="rId20" Type="http://schemas.openxmlformats.org/officeDocument/2006/relationships/hyperlink" Target="mailto:abhinaygoud49@gmail.com" TargetMode="External"/><Relationship Id="rId21" Type="http://schemas.openxmlformats.org/officeDocument/2006/relationships/hyperlink" Target="mailto:musrafmohamed75@gmail.com" TargetMode="External"/><Relationship Id="rId22" Type="http://schemas.openxmlformats.org/officeDocument/2006/relationships/hyperlink" Target="mailto:kapurapuyaswanthreddy@gmail.com" TargetMode="External"/><Relationship Id="rId23" Type="http://schemas.openxmlformats.org/officeDocument/2006/relationships/hyperlink" Target="mailto:pkarthikeya807@gmail.com" TargetMode="External"/><Relationship Id="rId24" Type="http://schemas.openxmlformats.org/officeDocument/2006/relationships/hyperlink" Target="mailto:koppisettysathvika666@gmail.com" TargetMode="External"/><Relationship Id="rId25" Type="http://schemas.openxmlformats.org/officeDocument/2006/relationships/hyperlink" Target="mailto:varikutipushpanjalinaidu@gmail.com" TargetMode="External"/><Relationship Id="rId26" Type="http://schemas.openxmlformats.org/officeDocument/2006/relationships/hyperlink" Target="mailto:alishashiak1606@gmail.com" TargetMode="External"/><Relationship Id="rId27" Type="http://schemas.openxmlformats.org/officeDocument/2006/relationships/hyperlink" Target="mailto:ishukesavarapu29@gmail.com" TargetMode="External"/><Relationship Id="rId28" Type="http://schemas.openxmlformats.org/officeDocument/2006/relationships/hyperlink" Target="mailto:nezareeen@gmail.com" TargetMode="External"/><Relationship Id="rId29" Type="http://schemas.openxmlformats.org/officeDocument/2006/relationships/hyperlink" Target="mailto:gamyasrirelangi1@gmail.com" TargetMode="External"/><Relationship Id="rId30" Type="http://schemas.openxmlformats.org/officeDocument/2006/relationships/hyperlink" Target="mailto:sindhuja.somanchi2025@gmail.com" TargetMode="External"/><Relationship Id="rId31" Type="http://schemas.openxmlformats.org/officeDocument/2006/relationships/hyperlink" Target="mailto:jaswanthsai9696@gmail.com" TargetMode="External"/><Relationship Id="rId32" Type="http://schemas.openxmlformats.org/officeDocument/2006/relationships/hyperlink" Target="mailto:tejmotipalli@gmail.com" TargetMode="External"/><Relationship Id="rId33" Type="http://schemas.openxmlformats.org/officeDocument/2006/relationships/hyperlink" Target="mailto:indugugopalsai123@gmail.com" TargetMode="External"/><Relationship Id="rId34" Type="http://schemas.openxmlformats.org/officeDocument/2006/relationships/hyperlink" Target="mailto:krishnakoushik297@gmail.com" TargetMode="External"/><Relationship Id="rId35" Type="http://schemas.openxmlformats.org/officeDocument/2006/relationships/hyperlink" Target="mailto:shesettipavankumarswamy@gmail.com" TargetMode="External"/><Relationship Id="rId36" Type="http://schemas.openxmlformats.org/officeDocument/2006/relationships/hyperlink" Target="mailto:satyakarthikpokala@gmail.com" TargetMode="External"/><Relationship Id="rId37" Type="http://schemas.openxmlformats.org/officeDocument/2006/relationships/hyperlink" Target="mailto:sweetyeunice27@gmail.com" TargetMode="External"/><Relationship Id="rId38" Type="http://schemas.openxmlformats.org/officeDocument/2006/relationships/hyperlink" Target="mailto:bhanusasithaoggu@gmail.com" TargetMode="External"/><Relationship Id="rId39" Type="http://schemas.openxmlformats.org/officeDocument/2006/relationships/hyperlink" Target="mailto:pvenkatasivaajay@gmail.com" TargetMode="External"/><Relationship Id="rId40" Type="http://schemas.openxmlformats.org/officeDocument/2006/relationships/hyperlink" Target="mailto:lokesh13805@gmail.com" TargetMode="External"/><Relationship Id="rId41" Type="http://schemas.openxmlformats.org/officeDocument/2006/relationships/hyperlink" Target="mailto:pujasrinavya.57@gmail.com" TargetMode="External"/><Relationship Id="rId42" Type="http://schemas.openxmlformats.org/officeDocument/2006/relationships/hyperlink" Target="mailto:kovvuriblessy@gmail.com" TargetMode="External"/><Relationship Id="rId43" Type="http://schemas.openxmlformats.org/officeDocument/2006/relationships/hyperlink" Target="mailto:lolladevisrilakshmipriya@gmail.com" TargetMode="External"/><Relationship Id="rId44" Type="http://schemas.openxmlformats.org/officeDocument/2006/relationships/hyperlink" Target="mailto:koppolusrinadh0@gmail.com" TargetMode="External"/><Relationship Id="rId45" Type="http://schemas.openxmlformats.org/officeDocument/2006/relationships/hyperlink" Target="mailto:umamaheswariyadamareddy@gmail.com" TargetMode="External"/><Relationship Id="rId46" Type="http://schemas.openxmlformats.org/officeDocument/2006/relationships/hyperlink" Target="mailto:charantejasarika32@gmail.com" TargetMode="External"/><Relationship Id="rId47" Type="http://schemas.openxmlformats.org/officeDocument/2006/relationships/hyperlink" Target="mailto:gietsaiki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4" customWidth="1"/>
    <col min="4" max="4" width="14" customWidth="1"/>
    <col min="5" max="5" width="26" customWidth="1"/>
    <col min="6" max="6" width="32" customWidth="1"/>
    <col min="7" max="7" width="18" customWidth="1"/>
    <col min="8" max="9" width="20" customWidth="1"/>
    <col min="10" max="10" width="18" customWidth="1"/>
    <col min="11" max="11" width="20" customWidth="1"/>
    <col min="12" max="12" width="32" customWidth="1"/>
    <col min="13" max="13" width="26" customWidth="1"/>
  </cols>
  <sheetData>
    <row r="1" ht="26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3" t="s">
        <v>2</v>
      </c>
      <c r="M1" s="4" t="s">
        <v>3</v>
      </c>
    </row>
    <row r="2" ht="30" customHeight="1" spans="1:13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8" t="s">
        <v>15</v>
      </c>
      <c r="M2" s="9" t="s">
        <v>16</v>
      </c>
    </row>
    <row r="3" ht="24" customHeight="1" spans="1:13" x14ac:dyDescent="0.25">
      <c r="A3" s="10">
        <v>1</v>
      </c>
      <c r="B3" s="11" t="s">
        <v>17</v>
      </c>
      <c r="C3" s="11" t="s">
        <v>18</v>
      </c>
      <c r="D3" s="10">
        <v>3</v>
      </c>
      <c r="E3" s="11" t="s">
        <v>19</v>
      </c>
      <c r="F3" s="12" t="s">
        <v>20</v>
      </c>
      <c r="G3" s="11" t="s">
        <v>21</v>
      </c>
      <c r="H3" s="13">
        <v>20</v>
      </c>
      <c r="I3" s="13">
        <v>30</v>
      </c>
      <c r="J3" s="13">
        <v>20</v>
      </c>
      <c r="K3" s="14">
        <f>SUM(H3:J3)</f>
      </c>
      <c r="L3" s="11" t="s">
        <v>22</v>
      </c>
      <c r="M3" s="15" t="s">
        <v>23</v>
      </c>
    </row>
    <row r="4" ht="24" customHeight="1" spans="1:13" x14ac:dyDescent="0.25">
      <c r="A4" s="16">
        <v>2</v>
      </c>
      <c r="B4" s="17" t="s">
        <v>24</v>
      </c>
      <c r="C4" s="17" t="s">
        <v>18</v>
      </c>
      <c r="D4" s="16">
        <v>2</v>
      </c>
      <c r="E4" s="17" t="s">
        <v>25</v>
      </c>
      <c r="F4" s="18" t="s">
        <v>26</v>
      </c>
      <c r="G4" s="17" t="s">
        <v>27</v>
      </c>
      <c r="H4" s="13"/>
      <c r="I4" s="13"/>
      <c r="J4" s="13"/>
      <c r="K4" s="14">
        <f>SUM(H4:J4)</f>
      </c>
      <c r="L4" s="11" t="s">
        <v>22</v>
      </c>
      <c r="M4" s="19" t="s">
        <v>28</v>
      </c>
    </row>
    <row r="5" ht="24" customHeight="1" spans="1:13" x14ac:dyDescent="0.25">
      <c r="A5" s="10">
        <v>3</v>
      </c>
      <c r="B5" s="11" t="s">
        <v>29</v>
      </c>
      <c r="C5" s="11" t="s">
        <v>18</v>
      </c>
      <c r="D5" s="10">
        <v>3</v>
      </c>
      <c r="E5" s="11" t="s">
        <v>30</v>
      </c>
      <c r="F5" s="12" t="s">
        <v>31</v>
      </c>
      <c r="G5" s="11" t="s">
        <v>32</v>
      </c>
      <c r="H5" s="13"/>
      <c r="I5" s="13"/>
      <c r="J5" s="13"/>
      <c r="K5" s="14">
        <f>SUM(H5:J5)</f>
      </c>
      <c r="L5" s="11" t="s">
        <v>22</v>
      </c>
      <c r="M5" s="15" t="s">
        <v>33</v>
      </c>
    </row>
    <row r="6" ht="24" customHeight="1" spans="1:13" x14ac:dyDescent="0.25">
      <c r="A6" s="16">
        <v>4</v>
      </c>
      <c r="B6" s="17" t="s">
        <v>34</v>
      </c>
      <c r="C6" s="17" t="s">
        <v>18</v>
      </c>
      <c r="D6" s="16">
        <v>5</v>
      </c>
      <c r="E6" s="17" t="s">
        <v>35</v>
      </c>
      <c r="F6" s="18" t="s">
        <v>36</v>
      </c>
      <c r="G6" s="17" t="s">
        <v>37</v>
      </c>
      <c r="H6" s="13"/>
      <c r="I6" s="13"/>
      <c r="J6" s="13"/>
      <c r="K6" s="14">
        <f>SUM(H6:J6)</f>
      </c>
      <c r="L6" s="11" t="s">
        <v>22</v>
      </c>
      <c r="M6" s="19" t="s">
        <v>38</v>
      </c>
    </row>
    <row r="7" ht="24" customHeight="1" spans="1:13" x14ac:dyDescent="0.25">
      <c r="A7" s="10">
        <v>5</v>
      </c>
      <c r="B7" s="11" t="s">
        <v>39</v>
      </c>
      <c r="C7" s="11" t="s">
        <v>40</v>
      </c>
      <c r="D7" s="10">
        <v>3</v>
      </c>
      <c r="E7" s="11" t="s">
        <v>41</v>
      </c>
      <c r="F7" s="12" t="s">
        <v>42</v>
      </c>
      <c r="G7" s="11" t="s">
        <v>43</v>
      </c>
      <c r="H7" s="13"/>
      <c r="I7" s="13"/>
      <c r="J7" s="13"/>
      <c r="K7" s="14">
        <f>SUM(H7:J7)</f>
      </c>
      <c r="L7" s="11" t="s">
        <v>22</v>
      </c>
      <c r="M7" s="15" t="s">
        <v>44</v>
      </c>
    </row>
    <row r="8" ht="24" customHeight="1" spans="1:13" x14ac:dyDescent="0.25">
      <c r="A8" s="16">
        <v>6</v>
      </c>
      <c r="B8" s="17" t="s">
        <v>45</v>
      </c>
      <c r="C8" s="17" t="s">
        <v>46</v>
      </c>
      <c r="D8" s="16">
        <v>5</v>
      </c>
      <c r="E8" s="17" t="s">
        <v>47</v>
      </c>
      <c r="F8" s="18" t="s">
        <v>48</v>
      </c>
      <c r="G8" s="17" t="s">
        <v>49</v>
      </c>
      <c r="H8" s="13"/>
      <c r="I8" s="13"/>
      <c r="J8" s="13"/>
      <c r="K8" s="14">
        <f>SUM(H8:J8)</f>
      </c>
      <c r="L8" s="11" t="s">
        <v>22</v>
      </c>
      <c r="M8" s="19" t="s">
        <v>50</v>
      </c>
    </row>
    <row r="9" ht="24" customHeight="1" spans="1:13" x14ac:dyDescent="0.25">
      <c r="A9" s="10">
        <v>7</v>
      </c>
      <c r="B9" s="11" t="s">
        <v>51</v>
      </c>
      <c r="C9" s="11" t="s">
        <v>18</v>
      </c>
      <c r="D9" s="10">
        <v>4</v>
      </c>
      <c r="E9" s="11" t="s">
        <v>52</v>
      </c>
      <c r="F9" s="12" t="s">
        <v>53</v>
      </c>
      <c r="G9" s="11" t="s">
        <v>54</v>
      </c>
      <c r="H9" s="13"/>
      <c r="I9" s="13"/>
      <c r="J9" s="13"/>
      <c r="K9" s="14">
        <f>SUM(H9:J9)</f>
      </c>
      <c r="L9" s="11" t="s">
        <v>22</v>
      </c>
      <c r="M9" s="15" t="s">
        <v>55</v>
      </c>
    </row>
    <row r="10" ht="24" customHeight="1" spans="1:13" x14ac:dyDescent="0.25">
      <c r="A10" s="16">
        <v>8</v>
      </c>
      <c r="B10" s="17" t="s">
        <v>56</v>
      </c>
      <c r="C10" s="17" t="s">
        <v>40</v>
      </c>
      <c r="D10" s="16">
        <v>1</v>
      </c>
      <c r="E10" s="17" t="s">
        <v>57</v>
      </c>
      <c r="F10" s="18" t="s">
        <v>58</v>
      </c>
      <c r="G10" s="17" t="s">
        <v>59</v>
      </c>
      <c r="H10" s="13"/>
      <c r="I10" s="13"/>
      <c r="J10" s="13"/>
      <c r="K10" s="14">
        <f>SUM(H10:J10)</f>
      </c>
      <c r="L10" s="11" t="s">
        <v>22</v>
      </c>
      <c r="M10" s="19" t="s">
        <v>60</v>
      </c>
    </row>
    <row r="11" ht="24" customHeight="1" spans="1:13" x14ac:dyDescent="0.25">
      <c r="A11" s="10">
        <v>9</v>
      </c>
      <c r="B11" s="11" t="s">
        <v>61</v>
      </c>
      <c r="C11" s="11" t="s">
        <v>62</v>
      </c>
      <c r="D11" s="10">
        <v>3</v>
      </c>
      <c r="E11" s="11" t="s">
        <v>63</v>
      </c>
      <c r="F11" s="12" t="s">
        <v>64</v>
      </c>
      <c r="G11" s="11" t="s">
        <v>65</v>
      </c>
      <c r="H11" s="13"/>
      <c r="I11" s="13"/>
      <c r="J11" s="13"/>
      <c r="K11" s="14">
        <f>SUM(H11:J11)</f>
      </c>
      <c r="L11" s="11" t="s">
        <v>22</v>
      </c>
      <c r="M11" s="15" t="s">
        <v>66</v>
      </c>
    </row>
    <row r="12" ht="24" customHeight="1" spans="1:13" x14ac:dyDescent="0.25">
      <c r="A12" s="16">
        <v>10</v>
      </c>
      <c r="B12" s="17" t="s">
        <v>67</v>
      </c>
      <c r="C12" s="17" t="s">
        <v>18</v>
      </c>
      <c r="D12" s="16">
        <v>1</v>
      </c>
      <c r="E12" s="17" t="s">
        <v>68</v>
      </c>
      <c r="F12" s="18" t="s">
        <v>69</v>
      </c>
      <c r="G12" s="17" t="s">
        <v>70</v>
      </c>
      <c r="H12" s="13"/>
      <c r="I12" s="13"/>
      <c r="J12" s="13"/>
      <c r="K12" s="14">
        <f>SUM(H12:J12)</f>
      </c>
      <c r="L12" s="11" t="s">
        <v>22</v>
      </c>
      <c r="M12" s="19" t="s">
        <v>71</v>
      </c>
    </row>
    <row r="13" ht="24" customHeight="1" spans="1:13" x14ac:dyDescent="0.25">
      <c r="A13" s="10">
        <v>11</v>
      </c>
      <c r="B13" s="11" t="s">
        <v>72</v>
      </c>
      <c r="C13" s="11" t="s">
        <v>18</v>
      </c>
      <c r="D13" s="10">
        <v>3</v>
      </c>
      <c r="E13" s="11" t="s">
        <v>73</v>
      </c>
      <c r="F13" s="12" t="s">
        <v>74</v>
      </c>
      <c r="G13" s="11" t="s">
        <v>75</v>
      </c>
      <c r="H13" s="13"/>
      <c r="I13" s="13"/>
      <c r="J13" s="13"/>
      <c r="K13" s="14">
        <f>SUM(H13:J13)</f>
      </c>
      <c r="L13" s="11" t="s">
        <v>22</v>
      </c>
      <c r="M13" s="15" t="s">
        <v>76</v>
      </c>
    </row>
    <row r="14" ht="24" customHeight="1" spans="1:13" x14ac:dyDescent="0.25">
      <c r="A14" s="16">
        <v>12</v>
      </c>
      <c r="B14" s="17" t="s">
        <v>77</v>
      </c>
      <c r="C14" s="17" t="s">
        <v>62</v>
      </c>
      <c r="D14" s="16">
        <v>4</v>
      </c>
      <c r="E14" s="17" t="s">
        <v>78</v>
      </c>
      <c r="F14" s="18" t="s">
        <v>79</v>
      </c>
      <c r="G14" s="17" t="s">
        <v>80</v>
      </c>
      <c r="H14" s="13"/>
      <c r="I14" s="13"/>
      <c r="J14" s="13"/>
      <c r="K14" s="14">
        <f>SUM(H14:J14)</f>
      </c>
      <c r="L14" s="11" t="s">
        <v>22</v>
      </c>
      <c r="M14" s="19" t="s">
        <v>81</v>
      </c>
    </row>
    <row r="15" ht="24" customHeight="1" spans="1:13" x14ac:dyDescent="0.25">
      <c r="A15" s="10">
        <v>13</v>
      </c>
      <c r="B15" s="11" t="s">
        <v>82</v>
      </c>
      <c r="C15" s="11" t="s">
        <v>40</v>
      </c>
      <c r="D15" s="10">
        <v>4</v>
      </c>
      <c r="E15" s="11" t="s">
        <v>83</v>
      </c>
      <c r="F15" s="12" t="s">
        <v>84</v>
      </c>
      <c r="G15" s="11" t="s">
        <v>85</v>
      </c>
      <c r="H15" s="13"/>
      <c r="I15" s="13"/>
      <c r="J15" s="13"/>
      <c r="K15" s="14">
        <f>SUM(H15:J15)</f>
      </c>
      <c r="L15" s="11" t="s">
        <v>22</v>
      </c>
      <c r="M15" s="15" t="s">
        <v>86</v>
      </c>
    </row>
    <row r="16" ht="24" customHeight="1" spans="1:13" x14ac:dyDescent="0.25">
      <c r="A16" s="16">
        <v>14</v>
      </c>
      <c r="B16" s="17" t="s">
        <v>87</v>
      </c>
      <c r="C16" s="17" t="s">
        <v>18</v>
      </c>
      <c r="D16" s="16">
        <v>4</v>
      </c>
      <c r="E16" s="17" t="s">
        <v>88</v>
      </c>
      <c r="F16" s="18" t="s">
        <v>89</v>
      </c>
      <c r="G16" s="17" t="s">
        <v>90</v>
      </c>
      <c r="H16" s="13"/>
      <c r="I16" s="13"/>
      <c r="J16" s="13"/>
      <c r="K16" s="14">
        <f>SUM(H16:J16)</f>
      </c>
      <c r="L16" s="11" t="s">
        <v>22</v>
      </c>
      <c r="M16" s="19" t="s">
        <v>91</v>
      </c>
    </row>
    <row r="17" ht="24" customHeight="1" spans="1:13" x14ac:dyDescent="0.25">
      <c r="A17" s="10">
        <v>15</v>
      </c>
      <c r="B17" s="11" t="s">
        <v>92</v>
      </c>
      <c r="C17" s="11" t="s">
        <v>40</v>
      </c>
      <c r="D17" s="10">
        <v>2</v>
      </c>
      <c r="E17" s="11" t="s">
        <v>93</v>
      </c>
      <c r="F17" s="12" t="s">
        <v>94</v>
      </c>
      <c r="G17" s="11" t="s">
        <v>95</v>
      </c>
      <c r="H17" s="13"/>
      <c r="I17" s="13"/>
      <c r="J17" s="13"/>
      <c r="K17" s="14">
        <f>SUM(H17:J17)</f>
      </c>
      <c r="L17" s="11" t="s">
        <v>22</v>
      </c>
      <c r="M17" s="15" t="s">
        <v>96</v>
      </c>
    </row>
    <row r="18" ht="24" customHeight="1" spans="1:13" x14ac:dyDescent="0.25">
      <c r="A18" s="16">
        <v>16</v>
      </c>
      <c r="B18" s="17" t="s">
        <v>97</v>
      </c>
      <c r="C18" s="17" t="s">
        <v>18</v>
      </c>
      <c r="D18" s="16">
        <v>2</v>
      </c>
      <c r="E18" s="17" t="s">
        <v>98</v>
      </c>
      <c r="F18" s="18" t="s">
        <v>99</v>
      </c>
      <c r="G18" s="17" t="s">
        <v>100</v>
      </c>
      <c r="H18" s="13"/>
      <c r="I18" s="13"/>
      <c r="J18" s="13"/>
      <c r="K18" s="14">
        <f>SUM(H18:J18)</f>
      </c>
      <c r="L18" s="11" t="s">
        <v>22</v>
      </c>
      <c r="M18" s="19" t="s">
        <v>101</v>
      </c>
    </row>
    <row r="19" ht="24" customHeight="1" spans="1:13" x14ac:dyDescent="0.25">
      <c r="A19" s="10">
        <v>17</v>
      </c>
      <c r="B19" s="11" t="s">
        <v>102</v>
      </c>
      <c r="C19" s="11" t="s">
        <v>18</v>
      </c>
      <c r="D19" s="10">
        <v>4</v>
      </c>
      <c r="E19" s="11" t="s">
        <v>103</v>
      </c>
      <c r="F19" s="12" t="s">
        <v>104</v>
      </c>
      <c r="G19" s="11" t="s">
        <v>105</v>
      </c>
      <c r="H19" s="13"/>
      <c r="I19" s="13"/>
      <c r="J19" s="13"/>
      <c r="K19" s="14">
        <f>SUM(H19:J19)</f>
      </c>
      <c r="L19" s="11" t="s">
        <v>22</v>
      </c>
      <c r="M19" s="15" t="s">
        <v>106</v>
      </c>
    </row>
    <row r="20" ht="24" customHeight="1" spans="1:13" x14ac:dyDescent="0.25">
      <c r="A20" s="16">
        <v>18</v>
      </c>
      <c r="B20" s="17" t="s">
        <v>107</v>
      </c>
      <c r="C20" s="17" t="s">
        <v>18</v>
      </c>
      <c r="D20" s="16">
        <v>3</v>
      </c>
      <c r="E20" s="17" t="s">
        <v>108</v>
      </c>
      <c r="F20" s="18" t="s">
        <v>109</v>
      </c>
      <c r="G20" s="17" t="s">
        <v>110</v>
      </c>
      <c r="H20" s="13"/>
      <c r="I20" s="13"/>
      <c r="J20" s="13"/>
      <c r="K20" s="14">
        <f>SUM(H20:J20)</f>
      </c>
      <c r="L20" s="11" t="s">
        <v>22</v>
      </c>
      <c r="M20" s="19" t="s">
        <v>111</v>
      </c>
    </row>
    <row r="21" ht="24" customHeight="1" spans="1:13" x14ac:dyDescent="0.25">
      <c r="A21" s="10">
        <v>19</v>
      </c>
      <c r="B21" s="11" t="s">
        <v>112</v>
      </c>
      <c r="C21" s="11" t="s">
        <v>18</v>
      </c>
      <c r="D21" s="10">
        <v>5</v>
      </c>
      <c r="E21" s="11" t="s">
        <v>113</v>
      </c>
      <c r="F21" s="12" t="s">
        <v>114</v>
      </c>
      <c r="G21" s="11" t="s">
        <v>115</v>
      </c>
      <c r="H21" s="13"/>
      <c r="I21" s="13"/>
      <c r="J21" s="13"/>
      <c r="K21" s="14">
        <f>SUM(H21:J21)</f>
      </c>
      <c r="L21" s="11" t="s">
        <v>22</v>
      </c>
      <c r="M21" s="15" t="s">
        <v>116</v>
      </c>
    </row>
    <row r="22" ht="24" customHeight="1" spans="1:13" x14ac:dyDescent="0.25">
      <c r="A22" s="16">
        <v>20</v>
      </c>
      <c r="B22" s="17" t="s">
        <v>117</v>
      </c>
      <c r="C22" s="17" t="s">
        <v>40</v>
      </c>
      <c r="D22" s="16">
        <v>4</v>
      </c>
      <c r="E22" s="17" t="s">
        <v>117</v>
      </c>
      <c r="F22" s="18" t="s">
        <v>118</v>
      </c>
      <c r="G22" s="17" t="s">
        <v>119</v>
      </c>
      <c r="H22" s="13"/>
      <c r="I22" s="13"/>
      <c r="J22" s="13"/>
      <c r="K22" s="14">
        <f>SUM(H22:J22)</f>
      </c>
      <c r="L22" s="11" t="s">
        <v>22</v>
      </c>
      <c r="M22" s="19" t="s">
        <v>120</v>
      </c>
    </row>
    <row r="23" ht="24" customHeight="1" spans="1:13" x14ac:dyDescent="0.25">
      <c r="A23" s="10">
        <v>21</v>
      </c>
      <c r="B23" s="11" t="s">
        <v>121</v>
      </c>
      <c r="C23" s="11" t="s">
        <v>62</v>
      </c>
      <c r="D23" s="10">
        <v>4</v>
      </c>
      <c r="E23" s="11" t="s">
        <v>122</v>
      </c>
      <c r="F23" s="12" t="s">
        <v>123</v>
      </c>
      <c r="G23" s="11" t="s">
        <v>124</v>
      </c>
      <c r="H23" s="13"/>
      <c r="I23" s="13"/>
      <c r="J23" s="13"/>
      <c r="K23" s="14">
        <f>SUM(H23:J23)</f>
      </c>
      <c r="L23" s="11" t="s">
        <v>22</v>
      </c>
      <c r="M23" s="15" t="s">
        <v>125</v>
      </c>
    </row>
    <row r="24" ht="24" customHeight="1" spans="1:13" x14ac:dyDescent="0.25">
      <c r="A24" s="16">
        <v>22</v>
      </c>
      <c r="B24" s="17" t="s">
        <v>126</v>
      </c>
      <c r="C24" s="17" t="s">
        <v>18</v>
      </c>
      <c r="D24" s="16">
        <v>3</v>
      </c>
      <c r="E24" s="17" t="s">
        <v>127</v>
      </c>
      <c r="F24" s="18" t="s">
        <v>128</v>
      </c>
      <c r="G24" s="17" t="s">
        <v>129</v>
      </c>
      <c r="H24" s="13"/>
      <c r="I24" s="13"/>
      <c r="J24" s="13"/>
      <c r="K24" s="14">
        <f>SUM(H24:J24)</f>
      </c>
      <c r="L24" s="11" t="s">
        <v>22</v>
      </c>
      <c r="M24" s="19" t="s">
        <v>130</v>
      </c>
    </row>
    <row r="25" ht="24" customHeight="1" spans="1:13" x14ac:dyDescent="0.25">
      <c r="A25" s="10">
        <v>23</v>
      </c>
      <c r="B25" s="11" t="s">
        <v>131</v>
      </c>
      <c r="C25" s="11" t="s">
        <v>18</v>
      </c>
      <c r="D25" s="10">
        <v>4</v>
      </c>
      <c r="E25" s="11" t="s">
        <v>132</v>
      </c>
      <c r="F25" s="12" t="s">
        <v>133</v>
      </c>
      <c r="G25" s="11" t="s">
        <v>134</v>
      </c>
      <c r="H25" s="13"/>
      <c r="I25" s="13"/>
      <c r="J25" s="13"/>
      <c r="K25" s="14">
        <f>SUM(H25:J25)</f>
      </c>
      <c r="L25" s="11" t="s">
        <v>22</v>
      </c>
      <c r="M25" s="15" t="s">
        <v>135</v>
      </c>
    </row>
    <row r="26" ht="24" customHeight="1" spans="1:13" x14ac:dyDescent="0.25">
      <c r="A26" s="16">
        <v>24</v>
      </c>
      <c r="B26" s="17" t="s">
        <v>136</v>
      </c>
      <c r="C26" s="17" t="s">
        <v>18</v>
      </c>
      <c r="D26" s="16">
        <v>4</v>
      </c>
      <c r="E26" s="17" t="s">
        <v>137</v>
      </c>
      <c r="F26" s="18" t="s">
        <v>138</v>
      </c>
      <c r="G26" s="17" t="s">
        <v>139</v>
      </c>
      <c r="H26" s="13"/>
      <c r="I26" s="13"/>
      <c r="J26" s="13"/>
      <c r="K26" s="14">
        <f>SUM(H26:J26)</f>
      </c>
      <c r="L26" s="11" t="s">
        <v>22</v>
      </c>
      <c r="M26" s="19" t="s">
        <v>140</v>
      </c>
    </row>
    <row r="27" ht="24" customHeight="1" spans="1:13" x14ac:dyDescent="0.25">
      <c r="A27" s="10">
        <v>25</v>
      </c>
      <c r="B27" s="11" t="s">
        <v>141</v>
      </c>
      <c r="C27" s="11" t="s">
        <v>18</v>
      </c>
      <c r="D27" s="10">
        <v>4</v>
      </c>
      <c r="E27" s="11" t="s">
        <v>142</v>
      </c>
      <c r="F27" s="12" t="s">
        <v>143</v>
      </c>
      <c r="G27" s="11" t="s">
        <v>144</v>
      </c>
      <c r="H27" s="13"/>
      <c r="I27" s="13"/>
      <c r="J27" s="13"/>
      <c r="K27" s="14">
        <f>SUM(H27:J27)</f>
      </c>
      <c r="L27" s="11" t="s">
        <v>22</v>
      </c>
      <c r="M27" s="15" t="s">
        <v>145</v>
      </c>
    </row>
    <row r="28" ht="24" customHeight="1" spans="1:13" x14ac:dyDescent="0.25">
      <c r="A28" s="16">
        <v>26</v>
      </c>
      <c r="B28" s="17" t="s">
        <v>141</v>
      </c>
      <c r="C28" s="17" t="s">
        <v>146</v>
      </c>
      <c r="D28" s="16">
        <v>5</v>
      </c>
      <c r="E28" s="17" t="s">
        <v>147</v>
      </c>
      <c r="F28" s="18" t="s">
        <v>148</v>
      </c>
      <c r="G28" s="17" t="s">
        <v>149</v>
      </c>
      <c r="H28" s="13"/>
      <c r="I28" s="13"/>
      <c r="J28" s="13"/>
      <c r="K28" s="14">
        <f>SUM(H28:J28)</f>
      </c>
      <c r="L28" s="11" t="s">
        <v>22</v>
      </c>
      <c r="M28" s="19" t="s">
        <v>150</v>
      </c>
    </row>
    <row r="29" ht="24" customHeight="1" spans="1:13" x14ac:dyDescent="0.25">
      <c r="A29" s="10">
        <v>27</v>
      </c>
      <c r="B29" s="11" t="s">
        <v>151</v>
      </c>
      <c r="C29" s="11" t="s">
        <v>18</v>
      </c>
      <c r="D29" s="10">
        <v>4</v>
      </c>
      <c r="E29" s="11" t="s">
        <v>152</v>
      </c>
      <c r="F29" s="12" t="s">
        <v>153</v>
      </c>
      <c r="G29" s="11" t="s">
        <v>154</v>
      </c>
      <c r="H29" s="13"/>
      <c r="I29" s="13"/>
      <c r="J29" s="13"/>
      <c r="K29" s="14">
        <f>SUM(H29:J29)</f>
      </c>
      <c r="L29" s="11" t="s">
        <v>22</v>
      </c>
      <c r="M29" s="15" t="s">
        <v>155</v>
      </c>
    </row>
    <row r="30" ht="24" customHeight="1" spans="1:13" x14ac:dyDescent="0.25">
      <c r="A30" s="16">
        <v>28</v>
      </c>
      <c r="B30" s="17" t="s">
        <v>156</v>
      </c>
      <c r="C30" s="17" t="s">
        <v>18</v>
      </c>
      <c r="D30" s="16">
        <v>2</v>
      </c>
      <c r="E30" s="17" t="s">
        <v>157</v>
      </c>
      <c r="F30" s="18" t="s">
        <v>158</v>
      </c>
      <c r="G30" s="17" t="s">
        <v>159</v>
      </c>
      <c r="H30" s="13"/>
      <c r="I30" s="13"/>
      <c r="J30" s="13"/>
      <c r="K30" s="14">
        <f>SUM(H30:J30)</f>
      </c>
      <c r="L30" s="11" t="s">
        <v>22</v>
      </c>
      <c r="M30" s="19" t="s">
        <v>160</v>
      </c>
    </row>
    <row r="31" ht="24" customHeight="1" spans="1:13" x14ac:dyDescent="0.25">
      <c r="A31" s="10">
        <v>29</v>
      </c>
      <c r="B31" s="11" t="s">
        <v>161</v>
      </c>
      <c r="C31" s="11" t="s">
        <v>18</v>
      </c>
      <c r="D31" s="10">
        <v>1</v>
      </c>
      <c r="E31" s="11" t="s">
        <v>162</v>
      </c>
      <c r="F31" s="12" t="s">
        <v>163</v>
      </c>
      <c r="G31" s="11" t="s">
        <v>164</v>
      </c>
      <c r="H31" s="13"/>
      <c r="I31" s="13"/>
      <c r="J31" s="13"/>
      <c r="K31" s="14">
        <f>SUM(H31:J31)</f>
      </c>
      <c r="L31" s="11" t="s">
        <v>22</v>
      </c>
      <c r="M31" s="15" t="s">
        <v>165</v>
      </c>
    </row>
    <row r="32" ht="24" customHeight="1" spans="1:13" x14ac:dyDescent="0.25">
      <c r="A32" s="16">
        <v>30</v>
      </c>
      <c r="B32" s="17" t="s">
        <v>166</v>
      </c>
      <c r="C32" s="17" t="s">
        <v>18</v>
      </c>
      <c r="D32" s="16">
        <v>4</v>
      </c>
      <c r="E32" s="17" t="s">
        <v>167</v>
      </c>
      <c r="F32" s="18" t="s">
        <v>168</v>
      </c>
      <c r="G32" s="17" t="s">
        <v>169</v>
      </c>
      <c r="H32" s="13"/>
      <c r="I32" s="13"/>
      <c r="J32" s="13"/>
      <c r="K32" s="14">
        <f>SUM(H32:J32)</f>
      </c>
      <c r="L32" s="11" t="s">
        <v>22</v>
      </c>
      <c r="M32" s="19" t="s">
        <v>170</v>
      </c>
    </row>
    <row r="33" ht="24" customHeight="1" spans="1:13" x14ac:dyDescent="0.25">
      <c r="A33" s="10">
        <v>31</v>
      </c>
      <c r="B33" s="11" t="s">
        <v>171</v>
      </c>
      <c r="C33" s="11" t="s">
        <v>18</v>
      </c>
      <c r="D33" s="10">
        <v>5</v>
      </c>
      <c r="E33" s="11" t="s">
        <v>172</v>
      </c>
      <c r="F33" s="12" t="s">
        <v>173</v>
      </c>
      <c r="G33" s="11" t="s">
        <v>174</v>
      </c>
      <c r="H33" s="13"/>
      <c r="I33" s="13"/>
      <c r="J33" s="13"/>
      <c r="K33" s="14">
        <f>SUM(H33:J33)</f>
      </c>
      <c r="L33" s="11" t="s">
        <v>22</v>
      </c>
      <c r="M33" s="15" t="s">
        <v>175</v>
      </c>
    </row>
    <row r="34" ht="24" customHeight="1" spans="1:13" x14ac:dyDescent="0.25">
      <c r="A34" s="16">
        <v>32</v>
      </c>
      <c r="B34" s="17" t="s">
        <v>176</v>
      </c>
      <c r="C34" s="17" t="s">
        <v>18</v>
      </c>
      <c r="D34" s="16">
        <v>2</v>
      </c>
      <c r="E34" s="17" t="s">
        <v>177</v>
      </c>
      <c r="F34" s="18" t="s">
        <v>178</v>
      </c>
      <c r="G34" s="17" t="s">
        <v>179</v>
      </c>
      <c r="H34" s="13"/>
      <c r="I34" s="13"/>
      <c r="J34" s="13"/>
      <c r="K34" s="14">
        <f>SUM(H34:J34)</f>
      </c>
      <c r="L34" s="11" t="s">
        <v>22</v>
      </c>
      <c r="M34" s="19" t="s">
        <v>180</v>
      </c>
    </row>
    <row r="35" ht="24" customHeight="1" spans="1:13" x14ac:dyDescent="0.25">
      <c r="A35" s="10">
        <v>33</v>
      </c>
      <c r="B35" s="11" t="s">
        <v>181</v>
      </c>
      <c r="C35" s="11" t="s">
        <v>18</v>
      </c>
      <c r="D35" s="10">
        <v>4</v>
      </c>
      <c r="E35" s="11" t="s">
        <v>182</v>
      </c>
      <c r="F35" s="12" t="s">
        <v>183</v>
      </c>
      <c r="G35" s="11" t="s">
        <v>184</v>
      </c>
      <c r="H35" s="13"/>
      <c r="I35" s="13"/>
      <c r="J35" s="13"/>
      <c r="K35" s="14">
        <f>SUM(H35:J35)</f>
      </c>
      <c r="L35" s="11" t="s">
        <v>22</v>
      </c>
      <c r="M35" s="15" t="s">
        <v>185</v>
      </c>
    </row>
    <row r="36" ht="24" customHeight="1" spans="1:13" x14ac:dyDescent="0.25">
      <c r="A36" s="16">
        <v>34</v>
      </c>
      <c r="B36" s="17" t="s">
        <v>186</v>
      </c>
      <c r="C36" s="17" t="s">
        <v>18</v>
      </c>
      <c r="D36" s="16">
        <v>4</v>
      </c>
      <c r="E36" s="17" t="s">
        <v>187</v>
      </c>
      <c r="F36" s="18" t="s">
        <v>188</v>
      </c>
      <c r="G36" s="17" t="s">
        <v>189</v>
      </c>
      <c r="H36" s="13"/>
      <c r="I36" s="13"/>
      <c r="J36" s="13"/>
      <c r="K36" s="14">
        <f>SUM(H36:J36)</f>
      </c>
      <c r="L36" s="11" t="s">
        <v>22</v>
      </c>
      <c r="M36" s="19" t="s">
        <v>190</v>
      </c>
    </row>
    <row r="37" ht="24" customHeight="1" spans="1:13" x14ac:dyDescent="0.25">
      <c r="A37" s="10">
        <v>35</v>
      </c>
      <c r="B37" s="11" t="s">
        <v>191</v>
      </c>
      <c r="C37" s="11" t="s">
        <v>40</v>
      </c>
      <c r="D37" s="10">
        <v>2</v>
      </c>
      <c r="E37" s="11" t="s">
        <v>192</v>
      </c>
      <c r="F37" s="12" t="s">
        <v>193</v>
      </c>
      <c r="G37" s="11" t="s">
        <v>194</v>
      </c>
      <c r="H37" s="13"/>
      <c r="I37" s="13"/>
      <c r="J37" s="13"/>
      <c r="K37" s="14">
        <f>SUM(H37:J37)</f>
      </c>
      <c r="L37" s="11" t="s">
        <v>22</v>
      </c>
      <c r="M37" s="15" t="s">
        <v>195</v>
      </c>
    </row>
    <row r="38" ht="24" customHeight="1" spans="1:13" x14ac:dyDescent="0.25">
      <c r="A38" s="16">
        <v>36</v>
      </c>
      <c r="B38" s="17" t="s">
        <v>196</v>
      </c>
      <c r="C38" s="17" t="s">
        <v>197</v>
      </c>
      <c r="D38" s="16">
        <v>2</v>
      </c>
      <c r="E38" s="17" t="s">
        <v>198</v>
      </c>
      <c r="F38" s="18" t="s">
        <v>199</v>
      </c>
      <c r="G38" s="17" t="s">
        <v>200</v>
      </c>
      <c r="H38" s="13"/>
      <c r="I38" s="13"/>
      <c r="J38" s="13"/>
      <c r="K38" s="14">
        <f>SUM(H38:J38)</f>
      </c>
      <c r="L38" s="11" t="s">
        <v>22</v>
      </c>
      <c r="M38" s="19" t="s">
        <v>201</v>
      </c>
    </row>
    <row r="39" ht="24" customHeight="1" spans="1:13" x14ac:dyDescent="0.25">
      <c r="A39" s="10">
        <v>37</v>
      </c>
      <c r="B39" s="11" t="s">
        <v>202</v>
      </c>
      <c r="C39" s="11" t="s">
        <v>18</v>
      </c>
      <c r="D39" s="10">
        <v>4</v>
      </c>
      <c r="E39" s="11" t="s">
        <v>203</v>
      </c>
      <c r="F39" s="12" t="s">
        <v>204</v>
      </c>
      <c r="G39" s="11" t="s">
        <v>205</v>
      </c>
      <c r="H39" s="13"/>
      <c r="I39" s="13"/>
      <c r="J39" s="13"/>
      <c r="K39" s="14">
        <f>SUM(H39:J39)</f>
      </c>
      <c r="L39" s="11" t="s">
        <v>22</v>
      </c>
      <c r="M39" s="15" t="s">
        <v>206</v>
      </c>
    </row>
    <row r="40" ht="24" customHeight="1" spans="1:13" x14ac:dyDescent="0.25">
      <c r="A40" s="16">
        <v>38</v>
      </c>
      <c r="B40" s="17" t="s">
        <v>207</v>
      </c>
      <c r="C40" s="17" t="s">
        <v>18</v>
      </c>
      <c r="D40" s="16">
        <v>2</v>
      </c>
      <c r="E40" s="17" t="s">
        <v>208</v>
      </c>
      <c r="F40" s="18" t="s">
        <v>209</v>
      </c>
      <c r="G40" s="17" t="s">
        <v>210</v>
      </c>
      <c r="H40" s="13"/>
      <c r="I40" s="13"/>
      <c r="J40" s="13"/>
      <c r="K40" s="14">
        <f>SUM(H40:J40)</f>
      </c>
      <c r="L40" s="11" t="s">
        <v>22</v>
      </c>
      <c r="M40" s="19" t="s">
        <v>211</v>
      </c>
    </row>
    <row r="41" ht="24" customHeight="1" spans="1:13" x14ac:dyDescent="0.25">
      <c r="A41" s="10">
        <v>39</v>
      </c>
      <c r="B41" s="11" t="s">
        <v>212</v>
      </c>
      <c r="C41" s="11" t="s">
        <v>40</v>
      </c>
      <c r="D41" s="10">
        <v>3</v>
      </c>
      <c r="E41" s="11" t="s">
        <v>213</v>
      </c>
      <c r="F41" s="12" t="s">
        <v>214</v>
      </c>
      <c r="G41" s="11" t="s">
        <v>215</v>
      </c>
      <c r="H41" s="13"/>
      <c r="I41" s="13"/>
      <c r="J41" s="13"/>
      <c r="K41" s="14">
        <f>SUM(H41:J41)</f>
      </c>
      <c r="L41" s="11" t="s">
        <v>22</v>
      </c>
      <c r="M41" s="15" t="s">
        <v>216</v>
      </c>
    </row>
    <row r="42" ht="24" customHeight="1" spans="1:13" x14ac:dyDescent="0.25">
      <c r="A42" s="16">
        <v>40</v>
      </c>
      <c r="B42" s="17" t="s">
        <v>217</v>
      </c>
      <c r="C42" s="17" t="s">
        <v>218</v>
      </c>
      <c r="D42" s="16">
        <v>2</v>
      </c>
      <c r="E42" s="17" t="s">
        <v>219</v>
      </c>
      <c r="F42" s="18" t="s">
        <v>220</v>
      </c>
      <c r="G42" s="17" t="s">
        <v>221</v>
      </c>
      <c r="H42" s="13"/>
      <c r="I42" s="13"/>
      <c r="J42" s="13"/>
      <c r="K42" s="14">
        <f>SUM(H42:J42)</f>
      </c>
      <c r="L42" s="11" t="s">
        <v>22</v>
      </c>
      <c r="M42" s="19" t="s">
        <v>222</v>
      </c>
    </row>
    <row r="43" ht="24" customHeight="1" spans="1:13" x14ac:dyDescent="0.25">
      <c r="A43" s="10">
        <v>41</v>
      </c>
      <c r="B43" s="11" t="s">
        <v>223</v>
      </c>
      <c r="C43" s="11" t="s">
        <v>18</v>
      </c>
      <c r="D43" s="10">
        <v>5</v>
      </c>
      <c r="E43" s="11" t="s">
        <v>224</v>
      </c>
      <c r="F43" s="12" t="s">
        <v>225</v>
      </c>
      <c r="G43" s="11" t="s">
        <v>226</v>
      </c>
      <c r="H43" s="13"/>
      <c r="I43" s="13"/>
      <c r="J43" s="13"/>
      <c r="K43" s="14">
        <f>SUM(H43:J43)</f>
      </c>
      <c r="L43" s="11" t="s">
        <v>22</v>
      </c>
      <c r="M43" s="15" t="s">
        <v>227</v>
      </c>
    </row>
    <row r="44" ht="24" customHeight="1" spans="1:13" x14ac:dyDescent="0.25">
      <c r="A44" s="16">
        <v>42</v>
      </c>
      <c r="B44" s="17" t="s">
        <v>228</v>
      </c>
      <c r="C44" s="17" t="s">
        <v>40</v>
      </c>
      <c r="D44" s="16">
        <v>2</v>
      </c>
      <c r="E44" s="17" t="s">
        <v>229</v>
      </c>
      <c r="F44" s="18" t="s">
        <v>230</v>
      </c>
      <c r="G44" s="17" t="s">
        <v>231</v>
      </c>
      <c r="H44" s="13"/>
      <c r="I44" s="13"/>
      <c r="J44" s="13"/>
      <c r="K44" s="14">
        <f>SUM(H44:J44)</f>
      </c>
      <c r="L44" s="11" t="s">
        <v>22</v>
      </c>
      <c r="M44" s="19" t="s">
        <v>232</v>
      </c>
    </row>
    <row r="45" ht="24" customHeight="1" spans="1:13" x14ac:dyDescent="0.25">
      <c r="A45" s="10">
        <v>43</v>
      </c>
      <c r="B45" s="11" t="s">
        <v>233</v>
      </c>
      <c r="C45" s="11" t="s">
        <v>18</v>
      </c>
      <c r="D45" s="10">
        <v>2</v>
      </c>
      <c r="E45" s="11" t="s">
        <v>234</v>
      </c>
      <c r="F45" s="12" t="s">
        <v>235</v>
      </c>
      <c r="G45" s="11" t="s">
        <v>236</v>
      </c>
      <c r="H45" s="13"/>
      <c r="I45" s="13"/>
      <c r="J45" s="13"/>
      <c r="K45" s="14">
        <f>SUM(H45:J45)</f>
      </c>
      <c r="L45" s="11" t="s">
        <v>22</v>
      </c>
      <c r="M45" s="15" t="s">
        <v>237</v>
      </c>
    </row>
    <row r="46" ht="24" customHeight="1" spans="1:13" x14ac:dyDescent="0.25">
      <c r="A46" s="16">
        <v>44</v>
      </c>
      <c r="B46" s="17" t="s">
        <v>238</v>
      </c>
      <c r="C46" s="17" t="s">
        <v>18</v>
      </c>
      <c r="D46" s="16">
        <v>4</v>
      </c>
      <c r="E46" s="17" t="s">
        <v>239</v>
      </c>
      <c r="F46" s="18" t="s">
        <v>240</v>
      </c>
      <c r="G46" s="17" t="s">
        <v>241</v>
      </c>
      <c r="H46" s="13"/>
      <c r="I46" s="13"/>
      <c r="J46" s="13"/>
      <c r="K46" s="14">
        <f>SUM(H46:J46)</f>
      </c>
      <c r="L46" s="11" t="s">
        <v>22</v>
      </c>
      <c r="M46" s="19" t="s">
        <v>242</v>
      </c>
    </row>
    <row r="47" ht="24" customHeight="1" spans="1:13" x14ac:dyDescent="0.25">
      <c r="A47" s="10">
        <v>45</v>
      </c>
      <c r="B47" s="11" t="s">
        <v>243</v>
      </c>
      <c r="C47" s="11" t="s">
        <v>146</v>
      </c>
      <c r="D47" s="10">
        <v>3</v>
      </c>
      <c r="E47" s="11" t="s">
        <v>244</v>
      </c>
      <c r="F47" s="12" t="s">
        <v>245</v>
      </c>
      <c r="G47" s="11" t="s">
        <v>246</v>
      </c>
      <c r="H47" s="13"/>
      <c r="I47" s="13"/>
      <c r="J47" s="13"/>
      <c r="K47" s="14">
        <f>SUM(H47:J47)</f>
      </c>
      <c r="L47" s="11" t="s">
        <v>22</v>
      </c>
      <c r="M47" s="15" t="s">
        <v>247</v>
      </c>
    </row>
    <row r="48" ht="24" customHeight="1" spans="1:13" x14ac:dyDescent="0.25">
      <c r="A48" s="16">
        <v>46</v>
      </c>
      <c r="B48" s="17" t="s">
        <v>248</v>
      </c>
      <c r="C48" s="17" t="s">
        <v>46</v>
      </c>
      <c r="D48" s="16">
        <v>4</v>
      </c>
      <c r="E48" s="17" t="s">
        <v>249</v>
      </c>
      <c r="F48" s="18" t="s">
        <v>250</v>
      </c>
      <c r="G48" s="17" t="s">
        <v>251</v>
      </c>
      <c r="H48" s="13"/>
      <c r="I48" s="13"/>
      <c r="J48" s="13"/>
      <c r="K48" s="14">
        <f>SUM(H48:J48)</f>
      </c>
      <c r="L48" s="11" t="s">
        <v>22</v>
      </c>
      <c r="M48" s="19" t="s">
        <v>252</v>
      </c>
    </row>
    <row r="49" ht="24" customHeight="1" spans="1:13" x14ac:dyDescent="0.25">
      <c r="A49" s="10">
        <v>47</v>
      </c>
      <c r="B49" s="11" t="s">
        <v>253</v>
      </c>
      <c r="C49" s="11" t="s">
        <v>40</v>
      </c>
      <c r="D49" s="10">
        <v>2</v>
      </c>
      <c r="E49" s="11" t="s">
        <v>254</v>
      </c>
      <c r="F49" s="12" t="s">
        <v>255</v>
      </c>
      <c r="G49" s="11" t="s">
        <v>256</v>
      </c>
      <c r="H49" s="13"/>
      <c r="I49" s="13"/>
      <c r="J49" s="13"/>
      <c r="K49" s="14">
        <f>SUM(H49:J49)</f>
      </c>
      <c r="L49" s="11" t="s">
        <v>22</v>
      </c>
      <c r="M49" s="15" t="s">
        <v>257</v>
      </c>
    </row>
    <row r="51" ht="24" customHeight="1" spans="3:11" x14ac:dyDescent="0.25">
      <c r="C51" s="20" t="s">
        <v>258</v>
      </c>
      <c r="H51" s="21">
        <f>AVERAGE(H3:H49)</f>
      </c>
      <c r="I51" s="21">
        <f>AVERAGE(I3:I49)</f>
      </c>
      <c r="J51" s="21">
        <f>AVERAGE(J3:J49)</f>
      </c>
      <c r="K51" s="21">
        <f>AVERAGE(K3:K49)</f>
      </c>
    </row>
  </sheetData>
  <autoFilter ref="A2:M49"/>
  <mergeCells count="2">
    <mergeCell ref="A1:G1"/>
    <mergeCell ref="H1:K1"/>
  </mergeCells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70" customWidth="1"/>
  </cols>
  <sheetData>
    <row r="1" spans="1:2" x14ac:dyDescent="0.25">
      <c r="A1" s="22" t="s">
        <v>259</v>
      </c>
      <c r="B1" t="s">
        <v>22</v>
      </c>
    </row>
    <row r="3" spans="1:2" s="23" customFormat="1" x14ac:dyDescent="0.25">
      <c r="A3" s="23" t="s">
        <v>260</v>
      </c>
      <c r="B3" s="23" t="s">
        <v>261</v>
      </c>
    </row>
    <row r="4" spans="1:2" x14ac:dyDescent="0.25">
      <c r="A4" t="s">
        <v>262</v>
      </c>
      <c r="B4" t="s">
        <v>263</v>
      </c>
    </row>
    <row r="5" spans="1:2" x14ac:dyDescent="0.25">
      <c r="A5" t="s">
        <v>264</v>
      </c>
      <c r="B5" t="s">
        <v>265</v>
      </c>
    </row>
    <row r="6" spans="1:2" x14ac:dyDescent="0.25">
      <c r="A6" t="s">
        <v>266</v>
      </c>
      <c r="B6" t="s">
        <v>267</v>
      </c>
    </row>
    <row r="7" spans="1:2" x14ac:dyDescent="0.25">
      <c r="A7" t="s">
        <v>268</v>
      </c>
      <c r="B7" t="s">
        <v>269</v>
      </c>
    </row>
    <row r="9" spans="1:2" x14ac:dyDescent="0.25">
      <c r="A9" t="s">
        <v>270</v>
      </c>
      <c r="B9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Hackathon Evaluation Sheet</vt:lpstr>
      <vt:lpstr>Evaluation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Hackathon Organizing Committee</dc:creator>
  <dc:title/>
  <dc:subject/>
  <dc:description/>
  <cp:keywords/>
  <cp:category/>
  <cp:lastModifiedBy>Unknown</cp:lastModifiedBy>
  <dcterms:created xsi:type="dcterms:W3CDTF">2026-09-11T00:41:15Z</dcterms:created>
  <dcterms:modified xsi:type="dcterms:W3CDTF">2026-09-11T00:41:15Z</dcterms:modified>
</cp:coreProperties>
</file>